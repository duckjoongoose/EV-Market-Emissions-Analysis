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onk\Desktop\data 202 midterm data sheet\"/>
    </mc:Choice>
  </mc:AlternateContent>
  <xr:revisionPtr revIDLastSave="0" documentId="13_ncr:1_{3CB99BD6-663F-4FDA-B9E0-33F02A4F4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8" r:id="rId1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6" i="8" l="1"/>
  <c r="AC5" i="8"/>
  <c r="AC4" i="8"/>
  <c r="AC3" i="8"/>
  <c r="AA2" i="8"/>
  <c r="Z2" i="8"/>
  <c r="Y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</calcChain>
</file>

<file path=xl/sharedStrings.xml><?xml version="1.0" encoding="utf-8"?>
<sst xmlns="http://schemas.openxmlformats.org/spreadsheetml/2006/main" count="5" uniqueCount="5">
  <si>
    <t>Total HEV, PHEV, and BEV</t>
  </si>
  <si>
    <t>Hybrid electric vehicle (HEV)</t>
  </si>
  <si>
    <t>“Plug-in” hybrid electric vehicles (PHEV)</t>
  </si>
  <si>
    <t>Battery electric-only vehicles (BEV)</t>
  </si>
  <si>
    <t>Fuel cell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</si>
</sst>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9"/>
      <name val="Helv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1">
      <alignment horizontal="left"/>
    </xf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6" fillId="0" borderId="0" xfId="0" applyFont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top" wrapText="1"/>
    </xf>
    <xf numFmtId="3" fontId="6" fillId="0" borderId="0" xfId="2" applyNumberFormat="1" applyFont="1" applyFill="1"/>
    <xf numFmtId="3" fontId="6" fillId="0" borderId="2" xfId="2" applyNumberFormat="1" applyFont="1" applyFill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top" wrapText="1"/>
    </xf>
    <xf numFmtId="3" fontId="7" fillId="0" borderId="0" xfId="2" applyNumberFormat="1" applyFont="1" applyFill="1"/>
  </cellXfs>
  <cellStyles count="9">
    <cellStyle name="Comma" xfId="2" builtinId="3"/>
    <cellStyle name="Followed Hyperlink" xfId="8" builtinId="9" hidden="1"/>
    <cellStyle name="Followed Hyperlink" xfId="6" builtinId="9" hidden="1"/>
    <cellStyle name="Followed Hyperlink" xfId="4" builtinId="9" hidden="1"/>
    <cellStyle name="Hed Side" xfId="1" xr:uid="{00000000-0005-0000-0000-000004000000}"/>
    <cellStyle name="Hyperlink" xfId="7" builtinId="8" hidden="1"/>
    <cellStyle name="Hyperlink" xfId="5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77D5-DA06-4D54-98A0-9B42068C0B38}">
  <dimension ref="A1:AC6"/>
  <sheetViews>
    <sheetView tabSelected="1" workbookViewId="0">
      <selection activeCell="I15" sqref="I15"/>
    </sheetView>
  </sheetViews>
  <sheetFormatPr defaultRowHeight="15"/>
  <sheetData>
    <row r="1" spans="1:29">
      <c r="A1" s="7"/>
      <c r="B1" s="7">
        <v>1999</v>
      </c>
      <c r="C1" s="7">
        <v>2000</v>
      </c>
      <c r="D1" s="7">
        <v>2001</v>
      </c>
      <c r="E1" s="7">
        <v>2002</v>
      </c>
      <c r="F1" s="7">
        <v>2003</v>
      </c>
      <c r="G1" s="7">
        <v>2004</v>
      </c>
      <c r="H1" s="7">
        <v>2005</v>
      </c>
      <c r="I1" s="7">
        <v>2006</v>
      </c>
      <c r="J1" s="7">
        <v>2007</v>
      </c>
      <c r="K1" s="7">
        <v>2008</v>
      </c>
      <c r="L1" s="7">
        <v>2009</v>
      </c>
      <c r="M1" s="7">
        <v>2010</v>
      </c>
      <c r="N1" s="7">
        <v>2011</v>
      </c>
      <c r="O1" s="7">
        <v>2012</v>
      </c>
      <c r="P1" s="7">
        <v>2013</v>
      </c>
      <c r="Q1" s="7">
        <v>2014</v>
      </c>
      <c r="R1" s="7">
        <v>2015</v>
      </c>
      <c r="S1" s="7">
        <v>2016</v>
      </c>
      <c r="T1" s="7">
        <v>2017</v>
      </c>
      <c r="U1" s="7">
        <v>2018</v>
      </c>
      <c r="V1" s="7">
        <v>2019</v>
      </c>
      <c r="W1" s="7">
        <v>2020</v>
      </c>
      <c r="X1" s="7">
        <v>2021</v>
      </c>
      <c r="Y1" s="7">
        <v>2022</v>
      </c>
      <c r="Z1" s="7">
        <v>2023</v>
      </c>
      <c r="AA1" s="7">
        <v>2024</v>
      </c>
      <c r="AB1" s="1"/>
      <c r="AC1" s="1"/>
    </row>
    <row r="2" spans="1:29">
      <c r="A2" s="2" t="s">
        <v>0</v>
      </c>
      <c r="B2" s="3">
        <f>SUM(B3:B6)</f>
        <v>17</v>
      </c>
      <c r="C2" s="3">
        <f t="shared" ref="C2:U2" si="0">SUM(C3:C6)</f>
        <v>9350</v>
      </c>
      <c r="D2" s="3">
        <f t="shared" si="0"/>
        <v>20282</v>
      </c>
      <c r="E2" s="3">
        <f t="shared" si="0"/>
        <v>36042</v>
      </c>
      <c r="F2" s="3">
        <f t="shared" si="0"/>
        <v>47566</v>
      </c>
      <c r="G2" s="3">
        <f t="shared" si="0"/>
        <v>84233</v>
      </c>
      <c r="H2" s="3">
        <f t="shared" si="0"/>
        <v>205876</v>
      </c>
      <c r="I2" s="3">
        <f t="shared" si="0"/>
        <v>251864</v>
      </c>
      <c r="J2" s="3">
        <f t="shared" si="0"/>
        <v>351071</v>
      </c>
      <c r="K2" s="3">
        <f>SUM(K3:K6)</f>
        <v>315763</v>
      </c>
      <c r="L2" s="3">
        <f t="shared" si="0"/>
        <v>290273</v>
      </c>
      <c r="M2" s="3">
        <f t="shared" si="0"/>
        <v>274993</v>
      </c>
      <c r="N2" s="3">
        <f t="shared" si="0"/>
        <v>284264</v>
      </c>
      <c r="O2" s="3">
        <f t="shared" si="0"/>
        <v>487819</v>
      </c>
      <c r="P2" s="3">
        <f t="shared" si="0"/>
        <v>592637</v>
      </c>
      <c r="Q2" s="3">
        <f t="shared" si="0"/>
        <v>571054</v>
      </c>
      <c r="R2" s="3">
        <f t="shared" si="0"/>
        <v>498527</v>
      </c>
      <c r="S2" s="3">
        <f t="shared" si="0"/>
        <v>507639</v>
      </c>
      <c r="T2" s="3">
        <f t="shared" si="0"/>
        <v>560762</v>
      </c>
      <c r="U2" s="3">
        <f t="shared" si="0"/>
        <v>671462</v>
      </c>
      <c r="V2" s="3">
        <v>721146</v>
      </c>
      <c r="W2" s="3">
        <v>763594</v>
      </c>
      <c r="X2" s="3">
        <v>1436252</v>
      </c>
      <c r="Y2" s="3">
        <f>SUM(Y3:Y6)</f>
        <v>1700567</v>
      </c>
      <c r="Z2" s="3">
        <f t="shared" ref="Z2:AA2" si="1">SUM(Z3:Z6)</f>
        <v>2619728</v>
      </c>
      <c r="AA2" s="3">
        <f t="shared" si="1"/>
        <v>1430282</v>
      </c>
      <c r="AB2" s="1"/>
      <c r="AC2" s="1"/>
    </row>
    <row r="3" spans="1:29" ht="51">
      <c r="A3" s="4" t="s">
        <v>1</v>
      </c>
      <c r="B3" s="5">
        <v>17</v>
      </c>
      <c r="C3" s="5">
        <v>9350</v>
      </c>
      <c r="D3" s="5">
        <v>20282</v>
      </c>
      <c r="E3" s="5">
        <v>36042</v>
      </c>
      <c r="F3" s="5">
        <v>47566</v>
      </c>
      <c r="G3" s="5">
        <v>84233</v>
      </c>
      <c r="H3" s="5">
        <v>205876</v>
      </c>
      <c r="I3" s="5">
        <v>251864</v>
      </c>
      <c r="J3" s="5">
        <v>351071</v>
      </c>
      <c r="K3" s="5">
        <v>315763</v>
      </c>
      <c r="L3" s="5">
        <v>290273</v>
      </c>
      <c r="M3" s="5">
        <v>274648</v>
      </c>
      <c r="N3" s="5">
        <v>266501</v>
      </c>
      <c r="O3" s="5">
        <v>434648</v>
      </c>
      <c r="P3" s="5">
        <v>495535</v>
      </c>
      <c r="Q3" s="5">
        <v>452172</v>
      </c>
      <c r="R3" s="5">
        <v>384400</v>
      </c>
      <c r="S3" s="5">
        <v>346949</v>
      </c>
      <c r="T3" s="5">
        <v>362868</v>
      </c>
      <c r="U3" s="5">
        <v>338149</v>
      </c>
      <c r="V3" s="5">
        <v>399444</v>
      </c>
      <c r="W3" s="5">
        <v>455067</v>
      </c>
      <c r="X3" s="5">
        <v>798992</v>
      </c>
      <c r="Y3" s="5">
        <v>766412</v>
      </c>
      <c r="Z3" s="5">
        <v>1175597</v>
      </c>
      <c r="AA3" s="5">
        <v>713126</v>
      </c>
      <c r="AB3" s="1"/>
      <c r="AC3" s="1">
        <f>Y3/X3</f>
        <v>0.95922362176342191</v>
      </c>
    </row>
    <row r="4" spans="1:29" ht="63.7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>
        <v>326</v>
      </c>
      <c r="N4" s="5">
        <v>7671</v>
      </c>
      <c r="O4" s="5">
        <v>38584</v>
      </c>
      <c r="P4" s="5">
        <v>49008</v>
      </c>
      <c r="Q4" s="5">
        <v>55357</v>
      </c>
      <c r="R4" s="5">
        <v>42959</v>
      </c>
      <c r="S4" s="5">
        <v>72885</v>
      </c>
      <c r="T4" s="5">
        <v>91089</v>
      </c>
      <c r="U4" s="5">
        <v>123883</v>
      </c>
      <c r="V4" s="5">
        <v>85791</v>
      </c>
      <c r="W4" s="5">
        <v>69049</v>
      </c>
      <c r="X4" s="9">
        <v>174453</v>
      </c>
      <c r="Y4" s="9">
        <v>183411</v>
      </c>
      <c r="Z4" s="5">
        <v>295937</v>
      </c>
      <c r="AA4" s="5">
        <v>170572</v>
      </c>
      <c r="AB4" s="1"/>
      <c r="AC4" s="1">
        <f t="shared" ref="AC4:AC6" si="2">Y4/X4</f>
        <v>1.0513490739626146</v>
      </c>
    </row>
    <row r="5" spans="1:29" ht="63.7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19</v>
      </c>
      <c r="N5" s="5">
        <v>10092</v>
      </c>
      <c r="O5" s="5">
        <v>14587</v>
      </c>
      <c r="P5" s="5">
        <v>48094</v>
      </c>
      <c r="Q5" s="5">
        <v>63525</v>
      </c>
      <c r="R5" s="5">
        <v>71064</v>
      </c>
      <c r="S5" s="5">
        <v>86731</v>
      </c>
      <c r="T5" s="5">
        <v>104492</v>
      </c>
      <c r="U5" s="5">
        <v>207062</v>
      </c>
      <c r="V5" s="5">
        <v>233822</v>
      </c>
      <c r="W5" s="5">
        <v>238540</v>
      </c>
      <c r="X5" s="9">
        <v>459466</v>
      </c>
      <c r="Y5" s="9">
        <v>747982</v>
      </c>
      <c r="Z5" s="5">
        <v>1145216</v>
      </c>
      <c r="AA5" s="5">
        <v>546262</v>
      </c>
      <c r="AB5" s="1"/>
      <c r="AC5" s="1">
        <f t="shared" si="2"/>
        <v>1.6279376493581679</v>
      </c>
    </row>
    <row r="6" spans="1:29" ht="25.5">
      <c r="A6" s="8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104</v>
      </c>
      <c r="S6" s="6">
        <v>1074</v>
      </c>
      <c r="T6" s="6">
        <v>2313</v>
      </c>
      <c r="U6" s="6">
        <v>2368</v>
      </c>
      <c r="V6" s="6">
        <v>2089</v>
      </c>
      <c r="W6" s="6">
        <v>938</v>
      </c>
      <c r="X6" s="6">
        <v>3341</v>
      </c>
      <c r="Y6" s="6">
        <v>2762</v>
      </c>
      <c r="Z6" s="6">
        <v>2978</v>
      </c>
      <c r="AA6" s="6">
        <v>322</v>
      </c>
      <c r="AB6" s="1"/>
      <c r="AC6" s="1">
        <f t="shared" si="2"/>
        <v>0.82669859323555817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aed4ac-dd4c-4794-87ed-06fc3a0ee92f" xsi:nil="true"/>
    <lcf76f155ced4ddcb4097134ff3c332f xmlns="a35715f8-87ef-4d3b-947a-233431d157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CCE4D5EAB61D418590745CD07CB446" ma:contentTypeVersion="12" ma:contentTypeDescription="Create a new document." ma:contentTypeScope="" ma:versionID="ed78c9e0e2136b03fc6cdcacb7dba58e">
  <xsd:schema xmlns:xsd="http://www.w3.org/2001/XMLSchema" xmlns:xs="http://www.w3.org/2001/XMLSchema" xmlns:p="http://schemas.microsoft.com/office/2006/metadata/properties" xmlns:ns2="a35715f8-87ef-4d3b-947a-233431d15701" xmlns:ns3="f6aed4ac-dd4c-4794-87ed-06fc3a0ee92f" targetNamespace="http://schemas.microsoft.com/office/2006/metadata/properties" ma:root="true" ma:fieldsID="9ec75b75d3aa65e34bd2dccb5e935849" ns2:_="" ns3:_="">
    <xsd:import namespace="a35715f8-87ef-4d3b-947a-233431d15701"/>
    <xsd:import namespace="f6aed4ac-dd4c-4794-87ed-06fc3a0ee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715f8-87ef-4d3b-947a-233431d15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d6f6f4-2ebe-4752-b946-0864209395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ed4ac-dd4c-4794-87ed-06fc3a0ee9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0cd60-20cf-49ec-8356-31b522e0e15c}" ma:internalName="TaxCatchAll" ma:showField="CatchAllData" ma:web="f6aed4ac-dd4c-4794-87ed-06fc3a0ee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FF88C1-E063-4A6C-90AC-581A0025F4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A18514-1B39-45FD-9134-1D2C22D8FD76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a35715f8-87ef-4d3b-947a-233431d15701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6aed4ac-dd4c-4794-87ed-06fc3a0ee92f"/>
  </ds:schemaRefs>
</ds:datastoreItem>
</file>

<file path=customXml/itemProps3.xml><?xml version="1.0" encoding="utf-8"?>
<ds:datastoreItem xmlns:ds="http://schemas.openxmlformats.org/officeDocument/2006/customXml" ds:itemID="{ACF19DBB-47C7-4FCC-8FE4-B64192A80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715f8-87ef-4d3b-947a-233431d15701"/>
    <ds:schemaRef ds:uri="f6aed4ac-dd4c-4794-87ed-06fc3a0ee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Sonya (OST)</dc:creator>
  <cp:keywords/>
  <dc:description/>
  <cp:lastModifiedBy>Joon Kim</cp:lastModifiedBy>
  <cp:revision/>
  <dcterms:created xsi:type="dcterms:W3CDTF">2010-03-30T18:36:41Z</dcterms:created>
  <dcterms:modified xsi:type="dcterms:W3CDTF">2025-11-03T23:38:46Z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0x010100E7CCE4D5EAB61D418590745CD07CB446</vt:lpwstr>
  </property>
  <property fmtid="{D5CDD505-2E9C-101B-9397-08002B2CF9AE}" pid="3" name="MediaServiceImageTags">
    <vt:lpwstr/>
  </property>
</Properties>
</file>